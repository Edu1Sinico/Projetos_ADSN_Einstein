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8_{83D6A707-C430-43C0-8278-E647DCE0FD27}" xr6:coauthVersionLast="47" xr6:coauthVersionMax="47" xr10:uidLastSave="{00000000-0000-0000-0000-000000000000}"/>
  <bookViews>
    <workbookView xWindow="-108" yWindow="-108" windowWidth="23256" windowHeight="12456" xr2:uid="{792557A6-4A11-480E-9777-03536ACA11B8}"/>
  </bookViews>
  <sheets>
    <sheet name="Planilha1" sheetId="1" r:id="rId1"/>
  </sheets>
  <calcPr calcId="191029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8" i="1"/>
  <c r="E7" i="1"/>
  <c r="E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<sst xmlns="http://schemas.openxmlformats.org/spreadsheetml/2006/main" count="2" uniqueCount="2">
  <si>
    <t>Base Line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</si>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</sst>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Burndow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2744561333077875E-2"/>
          <c:y val="9.8604503647320027E-2"/>
          <c:w val="0.92373670556533849"/>
          <c:h val="0.73649417752371815"/>
        </c:manualLayout>
      </c:layout>
      <c:lineChart>
        <c:grouping val="standard"/>
        <c:varyColors val="0"/>
        <c:ser>
          <c:idx val="0"/>
          <c:order val="0"/>
          <c:tx>
            <c:strRef>
              <c:f>Planilha1!$D$4</c:f>
              <c:strCache>
                <c:ptCount val="1"/>
                <c:pt idx="0">
                  <c:v>Base Line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Planilha1!$C$5:$C$15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Planilha1!$D$5:$D$15</c:f>
              <c:numCache>
                <c:formatCode>General</c:formatCode>
                <c:ptCount val="11"/>
                <c:pt idx="0">
                  <c:v>200</c:v>
                </c:pt>
                <c:pt idx="1">
                  <c:v>180</c:v>
                </c:pt>
                <c:pt idx="2">
                  <c:v>160</c:v>
                </c:pt>
                <c:pt idx="3">
                  <c:v>140</c:v>
                </c:pt>
                <c:pt idx="4">
                  <c:v>120</c:v>
                </c:pt>
                <c:pt idx="5">
                  <c:v>100</c:v>
                </c:pt>
                <c:pt idx="6">
                  <c:v>80</c:v>
                </c:pt>
                <c:pt idx="7">
                  <c:v>60</c:v>
                </c:pt>
                <c:pt idx="8">
                  <c:v>40</c:v>
                </c:pt>
                <c:pt idx="9">
                  <c:v>20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C-444B-9684-42E076ACAF69}"/>
            </c:ext>
          </c:extLst>
        </c:ser>
        <c:ser>
          <c:idx val="1"/>
          <c:order val="1"/>
          <c:tx>
            <c:strRef>
              <c:f>Planilha1!$E$4</c:f>
              <c:strCache>
                <c:ptCount val="1"/>
                <c:pt idx="0">
                  <c:v>Realizado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Planilha1!$C$5:$C$15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Planilha1!$E$5:$E$15</c:f>
              <c:numCache>
                <c:formatCode>General</c:formatCode>
                <c:ptCount val="11"/>
                <c:pt idx="0">
                  <c:v>200</c:v>
                </c:pt>
                <c:pt idx="1">
                  <c:v>196</c:v>
                </c:pt>
                <c:pt idx="2">
                  <c:v>192</c:v>
                </c:pt>
                <c:pt idx="3">
                  <c:v>186</c:v>
                </c:pt>
                <c:pt idx="4">
                  <c:v>181</c:v>
                </c:pt>
                <c:pt idx="5">
                  <c:v>176</c:v>
                </c:pt>
                <c:pt idx="6">
                  <c:v>146</c:v>
                </c:pt>
                <c:pt idx="7">
                  <c:v>92</c:v>
                </c:pt>
                <c:pt idx="8">
                  <c:v>54</c:v>
                </c:pt>
                <c:pt idx="9">
                  <c:v>10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9C-444B-9684-42E076ACA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01343"/>
        <c:axId val="1413615087"/>
      </c:lineChart>
      <c:catAx>
        <c:axId val="945013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3615087"/>
        <c:crosses val="autoZero"/>
        <c:auto val="1"/>
        <c:lblAlgn val="ctr"/>
        <c:lblOffset val="100"/>
        <c:noMultiLvlLbl val="0"/>
      </c:catAx>
      <c:valAx>
        <c:axId val="14136150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50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026398785899154"/>
          <c:y val="0.92955915001585809"/>
          <c:w val="0.27243455807884964"/>
          <c:h val="5.3520831304269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1</xdr:row>
      <xdr:rowOff>163830</xdr:rowOff>
    </xdr:from>
    <xdr:to>
      <xdr:col>16</xdr:col>
      <xdr:colOff>76200</xdr:colOff>
      <xdr:row>23</xdr:row>
      <xdr:rowOff>144780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329AD16-7BDE-9E46-FC76-03C9749A4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5413-C43F-4E80-8769-4E4A504061DE}">
  <dimension ref="C4:E15"/>
  <sheetViews>
    <sheetView tabSelected="1" workbookViewId="0">
      <selection activeCell="R6" sqref="R6"/>
    </sheetView>
  </sheetViews>
  <sheetFormatPr defaultRowHeight="14.4" x14ac:dyDescent="0.3"/>
  <cols>
    <col min="2" max="2" width="20" customWidth="1"/>
  </cols>
  <sheetData>
    <row r="4" spans="3:5" x14ac:dyDescent="0.3">
      <c r="D4" s="1" t="s">
        <v>0</v>
      </c>
      <c r="E4" s="1" t="s">
        <v>1</v>
      </c>
    </row>
    <row r="5" spans="3:5" x14ac:dyDescent="0.3">
      <c r="C5" s="1">
        <v>0</v>
      </c>
      <c r="D5" s="1">
        <f t="shared" ref="D5:D15" si="0">ROUND(200-(200/10)*C5,0)</f>
        <v>200</v>
      </c>
      <c r="E5" s="1">
        <v>200</v>
      </c>
    </row>
    <row r="6" spans="3:5" x14ac:dyDescent="0.3">
      <c r="C6" s="1">
        <v>1</v>
      </c>
      <c r="D6" s="1">
        <f t="shared" si="0"/>
        <v>180</v>
      </c>
      <c r="E6" s="1">
        <f>E5-4</f>
        <v>196</v>
      </c>
    </row>
    <row r="7" spans="3:5" x14ac:dyDescent="0.3">
      <c r="C7" s="1">
        <v>2</v>
      </c>
      <c r="D7" s="1">
        <f t="shared" si="0"/>
        <v>160</v>
      </c>
      <c r="E7" s="1">
        <f>E6-4</f>
        <v>192</v>
      </c>
    </row>
    <row r="8" spans="3:5" x14ac:dyDescent="0.3">
      <c r="C8" s="1">
        <v>3</v>
      </c>
      <c r="D8" s="1">
        <f t="shared" si="0"/>
        <v>140</v>
      </c>
      <c r="E8" s="1">
        <f>E7-6</f>
        <v>186</v>
      </c>
    </row>
    <row r="9" spans="3:5" x14ac:dyDescent="0.3">
      <c r="C9" s="1">
        <v>4</v>
      </c>
      <c r="D9" s="1">
        <f t="shared" si="0"/>
        <v>120</v>
      </c>
      <c r="E9" s="1">
        <f>E8-5</f>
        <v>181</v>
      </c>
    </row>
    <row r="10" spans="3:5" x14ac:dyDescent="0.3">
      <c r="C10" s="1">
        <v>5</v>
      </c>
      <c r="D10" s="1">
        <f t="shared" si="0"/>
        <v>100</v>
      </c>
      <c r="E10" s="1">
        <f>E9-5</f>
        <v>176</v>
      </c>
    </row>
    <row r="11" spans="3:5" x14ac:dyDescent="0.3">
      <c r="C11" s="1">
        <v>6</v>
      </c>
      <c r="D11" s="1">
        <f t="shared" si="0"/>
        <v>80</v>
      </c>
      <c r="E11" s="1">
        <f>E10-30</f>
        <v>146</v>
      </c>
    </row>
    <row r="12" spans="3:5" x14ac:dyDescent="0.3">
      <c r="C12" s="1">
        <v>7</v>
      </c>
      <c r="D12" s="1">
        <f t="shared" si="0"/>
        <v>60</v>
      </c>
      <c r="E12" s="1">
        <f>E11-54</f>
        <v>92</v>
      </c>
    </row>
    <row r="13" spans="3:5" x14ac:dyDescent="0.3">
      <c r="C13" s="1">
        <v>8</v>
      </c>
      <c r="D13" s="1">
        <f t="shared" si="0"/>
        <v>40</v>
      </c>
      <c r="E13" s="1">
        <f>E12-38</f>
        <v>54</v>
      </c>
    </row>
    <row r="14" spans="3:5" x14ac:dyDescent="0.3">
      <c r="C14" s="1">
        <v>9</v>
      </c>
      <c r="D14" s="1">
        <f t="shared" si="0"/>
        <v>20</v>
      </c>
      <c r="E14" s="1">
        <f>E13-44</f>
        <v>10</v>
      </c>
    </row>
    <row r="15" spans="3:5" x14ac:dyDescent="0.3">
      <c r="C15" s="1">
        <v>10</v>
      </c>
      <c r="D15" s="1">
        <f t="shared" si="0"/>
        <v>0</v>
      </c>
      <c r="E15" s="1">
        <f>E14-10</f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Jackson</dc:creator>
  <cp:lastModifiedBy>Miguel Jackson</cp:lastModifiedBy>
  <dcterms:created xsi:type="dcterms:W3CDTF">2026-08-12T17:59:07Z</dcterms:created>
  <dcterms:modified xsi:type="dcterms:W3CDTF">2026-10-21T14:21:46Z</dcterms:modified>
</cp:coreProperties>
</file>